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2790" yWindow="1515" windowWidth="28800" windowHeight="15345"/>
  </bookViews>
  <sheets>
    <sheet name="Sheet1" sheetId="1" r:id="rId1"/>
    <sheet name="Chart1" sheetId="3" r:id="rId2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5" i="1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H3" s="1"/>
  <c r="H4" s="1"/>
  <c r="H5" s="1"/>
  <c r="A4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H6" l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H37" s="1"/>
  <c r="H38" s="1"/>
  <c r="H39" s="1"/>
  <c r="H40" s="1"/>
  <c r="H41" s="1"/>
  <c r="H42" s="1"/>
  <c r="H43" s="1"/>
  <c r="H44" s="1"/>
  <c r="H45" s="1"/>
  <c r="H46" s="1"/>
  <c r="H47" s="1"/>
  <c r="H48" s="1"/>
  <c r="H49" s="1"/>
  <c r="H50" s="1"/>
  <c r="H51" s="1"/>
  <c r="H52" s="1"/>
  <c r="H53" s="1"/>
  <c r="H54" s="1"/>
  <c r="H55" s="1"/>
</calcChain>
</file>

<file path=xl/sharedStrings.xml><?xml version="1.0" encoding="utf-8"?>
<sst xmlns="http://schemas.openxmlformats.org/spreadsheetml/2006/main" count="7" uniqueCount="7">
  <si>
    <t>Kombinerad streamingstatistik</t>
  </si>
  <si>
    <t>"Vecka"</t>
  </si>
  <si>
    <t>Spotify</t>
  </si>
  <si>
    <t>Youtube</t>
  </si>
  <si>
    <t>Apple Music</t>
  </si>
  <si>
    <t>Sum</t>
  </si>
  <si>
    <t>Total</t>
  </si>
</sst>
</file>

<file path=xl/styles.xml><?xml version="1.0" encoding="utf-8"?>
<styleSheet xmlns="http://schemas.openxmlformats.org/spreadsheetml/2006/main">
  <fonts count="3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6">
    <xf numFmtId="0" fontId="0" fillId="0" borderId="0" xfId="0"/>
    <xf numFmtId="0" fontId="1" fillId="0" borderId="1" xfId="1"/>
    <xf numFmtId="0" fontId="2" fillId="0" borderId="2" xfId="2"/>
    <xf numFmtId="15" fontId="0" fillId="0" borderId="0" xfId="0" applyNumberFormat="1"/>
    <xf numFmtId="15" fontId="0" fillId="0" borderId="3" xfId="0" applyNumberFormat="1" applyBorder="1"/>
    <xf numFmtId="0" fontId="0" fillId="0" borderId="3" xfId="0" applyBorder="1"/>
  </cellXfs>
  <cellStyles count="3">
    <cellStyle name="Heading 1" xfId="1" builtinId="16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sv-SE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sv-SE"/>
              <a:t>Weekly</a:t>
            </a:r>
            <a:r>
              <a:rPr lang="sv-SE" baseline="0"/>
              <a:t> summary and totals</a:t>
            </a:r>
          </a:p>
        </c:rich>
      </c:tx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Sheet1!$B$2</c:f>
              <c:strCache>
                <c:ptCount val="1"/>
                <c:pt idx="0">
                  <c:v>Spotify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Sheet1!$A$3:$A$55</c:f>
              <c:numCache>
                <c:formatCode>dd/mmm/yy</c:formatCode>
                <c:ptCount val="53"/>
                <c:pt idx="0">
                  <c:v>45950</c:v>
                </c:pt>
                <c:pt idx="1">
                  <c:v>45957</c:v>
                </c:pt>
                <c:pt idx="2">
                  <c:v>45964</c:v>
                </c:pt>
                <c:pt idx="3">
                  <c:v>45971</c:v>
                </c:pt>
                <c:pt idx="4">
                  <c:v>45978</c:v>
                </c:pt>
                <c:pt idx="5">
                  <c:v>45985</c:v>
                </c:pt>
                <c:pt idx="6">
                  <c:v>45992</c:v>
                </c:pt>
                <c:pt idx="7">
                  <c:v>45999</c:v>
                </c:pt>
                <c:pt idx="8">
                  <c:v>46006</c:v>
                </c:pt>
                <c:pt idx="9">
                  <c:v>46013</c:v>
                </c:pt>
                <c:pt idx="10">
                  <c:v>46020</c:v>
                </c:pt>
                <c:pt idx="11">
                  <c:v>46027</c:v>
                </c:pt>
                <c:pt idx="12">
                  <c:v>46034</c:v>
                </c:pt>
                <c:pt idx="13">
                  <c:v>46041</c:v>
                </c:pt>
                <c:pt idx="14">
                  <c:v>46048</c:v>
                </c:pt>
                <c:pt idx="15">
                  <c:v>46055</c:v>
                </c:pt>
                <c:pt idx="16">
                  <c:v>46062</c:v>
                </c:pt>
                <c:pt idx="17">
                  <c:v>46069</c:v>
                </c:pt>
                <c:pt idx="18">
                  <c:v>46076</c:v>
                </c:pt>
                <c:pt idx="19">
                  <c:v>46083</c:v>
                </c:pt>
                <c:pt idx="20">
                  <c:v>46090</c:v>
                </c:pt>
                <c:pt idx="21">
                  <c:v>46097</c:v>
                </c:pt>
                <c:pt idx="22">
                  <c:v>46104</c:v>
                </c:pt>
                <c:pt idx="23">
                  <c:v>46111</c:v>
                </c:pt>
                <c:pt idx="24">
                  <c:v>46118</c:v>
                </c:pt>
                <c:pt idx="25">
                  <c:v>46125</c:v>
                </c:pt>
                <c:pt idx="26">
                  <c:v>46132</c:v>
                </c:pt>
                <c:pt idx="27">
                  <c:v>46139</c:v>
                </c:pt>
                <c:pt idx="28">
                  <c:v>46146</c:v>
                </c:pt>
                <c:pt idx="29">
                  <c:v>46153</c:v>
                </c:pt>
                <c:pt idx="30">
                  <c:v>46160</c:v>
                </c:pt>
                <c:pt idx="31">
                  <c:v>46167</c:v>
                </c:pt>
                <c:pt idx="32">
                  <c:v>46174</c:v>
                </c:pt>
                <c:pt idx="33">
                  <c:v>46181</c:v>
                </c:pt>
                <c:pt idx="34">
                  <c:v>46188</c:v>
                </c:pt>
                <c:pt idx="35">
                  <c:v>46195</c:v>
                </c:pt>
                <c:pt idx="36">
                  <c:v>46202</c:v>
                </c:pt>
                <c:pt idx="37">
                  <c:v>46209</c:v>
                </c:pt>
                <c:pt idx="38">
                  <c:v>46216</c:v>
                </c:pt>
                <c:pt idx="39">
                  <c:v>46223</c:v>
                </c:pt>
                <c:pt idx="40">
                  <c:v>46230</c:v>
                </c:pt>
                <c:pt idx="41">
                  <c:v>46237</c:v>
                </c:pt>
                <c:pt idx="42">
                  <c:v>46244</c:v>
                </c:pt>
                <c:pt idx="43">
                  <c:v>46251</c:v>
                </c:pt>
                <c:pt idx="44">
                  <c:v>46258</c:v>
                </c:pt>
                <c:pt idx="45">
                  <c:v>46265</c:v>
                </c:pt>
                <c:pt idx="46">
                  <c:v>46272</c:v>
                </c:pt>
                <c:pt idx="47">
                  <c:v>46279</c:v>
                </c:pt>
                <c:pt idx="48">
                  <c:v>46286</c:v>
                </c:pt>
                <c:pt idx="49">
                  <c:v>46293</c:v>
                </c:pt>
                <c:pt idx="50">
                  <c:v>46300</c:v>
                </c:pt>
                <c:pt idx="51">
                  <c:v>46307</c:v>
                </c:pt>
                <c:pt idx="52">
                  <c:v>46314</c:v>
                </c:pt>
              </c:numCache>
            </c:numRef>
          </c:cat>
          <c:val>
            <c:numRef>
              <c:f>Sheet1!$B$3:$B$55</c:f>
              <c:numCache>
                <c:formatCode>General</c:formatCode>
                <c:ptCount val="53"/>
                <c:pt idx="0">
                  <c:v>224</c:v>
                </c:pt>
                <c:pt idx="1">
                  <c:v>312</c:v>
                </c:pt>
                <c:pt idx="2">
                  <c:v>352</c:v>
                </c:pt>
                <c:pt idx="3">
                  <c:v>259</c:v>
                </c:pt>
                <c:pt idx="4">
                  <c:v>276</c:v>
                </c:pt>
                <c:pt idx="5">
                  <c:v>164</c:v>
                </c:pt>
                <c:pt idx="6">
                  <c:v>221</c:v>
                </c:pt>
                <c:pt idx="7">
                  <c:v>248</c:v>
                </c:pt>
                <c:pt idx="8">
                  <c:v>228</c:v>
                </c:pt>
                <c:pt idx="9">
                  <c:v>244</c:v>
                </c:pt>
                <c:pt idx="10">
                  <c:v>268</c:v>
                </c:pt>
                <c:pt idx="11">
                  <c:v>290</c:v>
                </c:pt>
                <c:pt idx="12">
                  <c:v>189</c:v>
                </c:pt>
                <c:pt idx="13">
                  <c:v>116</c:v>
                </c:pt>
                <c:pt idx="14">
                  <c:v>234</c:v>
                </c:pt>
                <c:pt idx="15">
                  <c:v>178</c:v>
                </c:pt>
                <c:pt idx="16">
                  <c:v>194</c:v>
                </c:pt>
                <c:pt idx="17">
                  <c:v>77</c:v>
                </c:pt>
                <c:pt idx="18">
                  <c:v>247</c:v>
                </c:pt>
                <c:pt idx="19">
                  <c:v>247</c:v>
                </c:pt>
                <c:pt idx="20">
                  <c:v>228</c:v>
                </c:pt>
                <c:pt idx="21">
                  <c:v>207</c:v>
                </c:pt>
                <c:pt idx="22">
                  <c:v>218</c:v>
                </c:pt>
                <c:pt idx="23">
                  <c:v>234</c:v>
                </c:pt>
                <c:pt idx="24">
                  <c:v>95</c:v>
                </c:pt>
                <c:pt idx="25">
                  <c:v>208</c:v>
                </c:pt>
                <c:pt idx="26">
                  <c:v>216</c:v>
                </c:pt>
                <c:pt idx="27">
                  <c:v>200</c:v>
                </c:pt>
                <c:pt idx="28">
                  <c:v>119</c:v>
                </c:pt>
                <c:pt idx="29">
                  <c:v>212</c:v>
                </c:pt>
                <c:pt idx="30">
                  <c:v>188</c:v>
                </c:pt>
                <c:pt idx="31">
                  <c:v>219</c:v>
                </c:pt>
                <c:pt idx="32">
                  <c:v>214</c:v>
                </c:pt>
                <c:pt idx="33">
                  <c:v>138</c:v>
                </c:pt>
                <c:pt idx="34">
                  <c:v>164</c:v>
                </c:pt>
                <c:pt idx="35">
                  <c:v>247</c:v>
                </c:pt>
                <c:pt idx="36">
                  <c:v>225</c:v>
                </c:pt>
                <c:pt idx="37">
                  <c:v>274</c:v>
                </c:pt>
                <c:pt idx="38">
                  <c:v>358</c:v>
                </c:pt>
                <c:pt idx="39">
                  <c:v>243</c:v>
                </c:pt>
                <c:pt idx="40">
                  <c:v>309</c:v>
                </c:pt>
                <c:pt idx="41">
                  <c:v>239</c:v>
                </c:pt>
                <c:pt idx="42">
                  <c:v>201</c:v>
                </c:pt>
                <c:pt idx="43">
                  <c:v>181</c:v>
                </c:pt>
                <c:pt idx="44">
                  <c:v>148</c:v>
                </c:pt>
                <c:pt idx="45">
                  <c:v>225</c:v>
                </c:pt>
                <c:pt idx="46">
                  <c:v>94</c:v>
                </c:pt>
                <c:pt idx="47">
                  <c:v>190</c:v>
                </c:pt>
                <c:pt idx="48">
                  <c:v>222</c:v>
                </c:pt>
                <c:pt idx="49">
                  <c:v>276</c:v>
                </c:pt>
                <c:pt idx="50">
                  <c:v>104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5AF-449E-9397-14DE8D09584C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Youtube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Sheet1!$A$3:$A$55</c:f>
              <c:numCache>
                <c:formatCode>dd/mmm/yy</c:formatCode>
                <c:ptCount val="53"/>
                <c:pt idx="0">
                  <c:v>45950</c:v>
                </c:pt>
                <c:pt idx="1">
                  <c:v>45957</c:v>
                </c:pt>
                <c:pt idx="2">
                  <c:v>45964</c:v>
                </c:pt>
                <c:pt idx="3">
                  <c:v>45971</c:v>
                </c:pt>
                <c:pt idx="4">
                  <c:v>45978</c:v>
                </c:pt>
                <c:pt idx="5">
                  <c:v>45985</c:v>
                </c:pt>
                <c:pt idx="6">
                  <c:v>45992</c:v>
                </c:pt>
                <c:pt idx="7">
                  <c:v>45999</c:v>
                </c:pt>
                <c:pt idx="8">
                  <c:v>46006</c:v>
                </c:pt>
                <c:pt idx="9">
                  <c:v>46013</c:v>
                </c:pt>
                <c:pt idx="10">
                  <c:v>46020</c:v>
                </c:pt>
                <c:pt idx="11">
                  <c:v>46027</c:v>
                </c:pt>
                <c:pt idx="12">
                  <c:v>46034</c:v>
                </c:pt>
                <c:pt idx="13">
                  <c:v>46041</c:v>
                </c:pt>
                <c:pt idx="14">
                  <c:v>46048</c:v>
                </c:pt>
                <c:pt idx="15">
                  <c:v>46055</c:v>
                </c:pt>
                <c:pt idx="16">
                  <c:v>46062</c:v>
                </c:pt>
                <c:pt idx="17">
                  <c:v>46069</c:v>
                </c:pt>
                <c:pt idx="18">
                  <c:v>46076</c:v>
                </c:pt>
                <c:pt idx="19">
                  <c:v>46083</c:v>
                </c:pt>
                <c:pt idx="20">
                  <c:v>46090</c:v>
                </c:pt>
                <c:pt idx="21">
                  <c:v>46097</c:v>
                </c:pt>
                <c:pt idx="22">
                  <c:v>46104</c:v>
                </c:pt>
                <c:pt idx="23">
                  <c:v>46111</c:v>
                </c:pt>
                <c:pt idx="24">
                  <c:v>46118</c:v>
                </c:pt>
                <c:pt idx="25">
                  <c:v>46125</c:v>
                </c:pt>
                <c:pt idx="26">
                  <c:v>46132</c:v>
                </c:pt>
                <c:pt idx="27">
                  <c:v>46139</c:v>
                </c:pt>
                <c:pt idx="28">
                  <c:v>46146</c:v>
                </c:pt>
                <c:pt idx="29">
                  <c:v>46153</c:v>
                </c:pt>
                <c:pt idx="30">
                  <c:v>46160</c:v>
                </c:pt>
                <c:pt idx="31">
                  <c:v>46167</c:v>
                </c:pt>
                <c:pt idx="32">
                  <c:v>46174</c:v>
                </c:pt>
                <c:pt idx="33">
                  <c:v>46181</c:v>
                </c:pt>
                <c:pt idx="34">
                  <c:v>46188</c:v>
                </c:pt>
                <c:pt idx="35">
                  <c:v>46195</c:v>
                </c:pt>
                <c:pt idx="36">
                  <c:v>46202</c:v>
                </c:pt>
                <c:pt idx="37">
                  <c:v>46209</c:v>
                </c:pt>
                <c:pt idx="38">
                  <c:v>46216</c:v>
                </c:pt>
                <c:pt idx="39">
                  <c:v>46223</c:v>
                </c:pt>
                <c:pt idx="40">
                  <c:v>46230</c:v>
                </c:pt>
                <c:pt idx="41">
                  <c:v>46237</c:v>
                </c:pt>
                <c:pt idx="42">
                  <c:v>46244</c:v>
                </c:pt>
                <c:pt idx="43">
                  <c:v>46251</c:v>
                </c:pt>
                <c:pt idx="44">
                  <c:v>46258</c:v>
                </c:pt>
                <c:pt idx="45">
                  <c:v>46265</c:v>
                </c:pt>
                <c:pt idx="46">
                  <c:v>46272</c:v>
                </c:pt>
                <c:pt idx="47">
                  <c:v>46279</c:v>
                </c:pt>
                <c:pt idx="48">
                  <c:v>46286</c:v>
                </c:pt>
                <c:pt idx="49">
                  <c:v>46293</c:v>
                </c:pt>
                <c:pt idx="50">
                  <c:v>46300</c:v>
                </c:pt>
                <c:pt idx="51">
                  <c:v>46307</c:v>
                </c:pt>
                <c:pt idx="52">
                  <c:v>46314</c:v>
                </c:pt>
              </c:numCache>
            </c:numRef>
          </c:cat>
          <c:val>
            <c:numRef>
              <c:f>Sheet1!$C$3:$C$55</c:f>
              <c:numCache>
                <c:formatCode>General</c:formatCode>
                <c:ptCount val="53"/>
                <c:pt idx="10">
                  <c:v>57</c:v>
                </c:pt>
                <c:pt idx="11">
                  <c:v>112</c:v>
                </c:pt>
                <c:pt idx="12">
                  <c:v>50</c:v>
                </c:pt>
                <c:pt idx="13">
                  <c:v>251</c:v>
                </c:pt>
                <c:pt idx="14">
                  <c:v>180</c:v>
                </c:pt>
                <c:pt idx="15">
                  <c:v>204</c:v>
                </c:pt>
                <c:pt idx="16">
                  <c:v>146</c:v>
                </c:pt>
                <c:pt idx="17">
                  <c:v>412</c:v>
                </c:pt>
                <c:pt idx="18">
                  <c:v>182</c:v>
                </c:pt>
                <c:pt idx="19">
                  <c:v>246</c:v>
                </c:pt>
                <c:pt idx="20">
                  <c:v>143</c:v>
                </c:pt>
                <c:pt idx="21">
                  <c:v>125</c:v>
                </c:pt>
                <c:pt idx="22">
                  <c:v>95</c:v>
                </c:pt>
                <c:pt idx="23">
                  <c:v>250</c:v>
                </c:pt>
                <c:pt idx="24">
                  <c:v>345</c:v>
                </c:pt>
                <c:pt idx="25">
                  <c:v>195</c:v>
                </c:pt>
                <c:pt idx="26">
                  <c:v>213</c:v>
                </c:pt>
                <c:pt idx="27">
                  <c:v>158</c:v>
                </c:pt>
                <c:pt idx="28">
                  <c:v>187</c:v>
                </c:pt>
                <c:pt idx="29">
                  <c:v>272</c:v>
                </c:pt>
                <c:pt idx="30">
                  <c:v>372</c:v>
                </c:pt>
                <c:pt idx="31">
                  <c:v>140</c:v>
                </c:pt>
                <c:pt idx="32">
                  <c:v>95</c:v>
                </c:pt>
                <c:pt idx="33">
                  <c:v>216</c:v>
                </c:pt>
                <c:pt idx="34">
                  <c:v>164</c:v>
                </c:pt>
                <c:pt idx="35">
                  <c:v>74</c:v>
                </c:pt>
                <c:pt idx="36">
                  <c:v>207</c:v>
                </c:pt>
                <c:pt idx="37">
                  <c:v>130</c:v>
                </c:pt>
                <c:pt idx="38">
                  <c:v>139</c:v>
                </c:pt>
                <c:pt idx="39">
                  <c:v>132</c:v>
                </c:pt>
                <c:pt idx="40">
                  <c:v>133</c:v>
                </c:pt>
                <c:pt idx="41">
                  <c:v>209</c:v>
                </c:pt>
                <c:pt idx="42">
                  <c:v>464</c:v>
                </c:pt>
                <c:pt idx="43">
                  <c:v>74</c:v>
                </c:pt>
                <c:pt idx="44">
                  <c:v>135</c:v>
                </c:pt>
                <c:pt idx="45">
                  <c:v>81</c:v>
                </c:pt>
                <c:pt idx="46">
                  <c:v>107</c:v>
                </c:pt>
                <c:pt idx="47">
                  <c:v>137</c:v>
                </c:pt>
                <c:pt idx="48">
                  <c:v>334</c:v>
                </c:pt>
                <c:pt idx="49">
                  <c:v>110</c:v>
                </c:pt>
                <c:pt idx="50">
                  <c:v>222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5AF-449E-9397-14DE8D09584C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Apple Music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Sheet1!$A$3:$A$55</c:f>
              <c:numCache>
                <c:formatCode>dd/mmm/yy</c:formatCode>
                <c:ptCount val="53"/>
                <c:pt idx="0">
                  <c:v>45950</c:v>
                </c:pt>
                <c:pt idx="1">
                  <c:v>45957</c:v>
                </c:pt>
                <c:pt idx="2">
                  <c:v>45964</c:v>
                </c:pt>
                <c:pt idx="3">
                  <c:v>45971</c:v>
                </c:pt>
                <c:pt idx="4">
                  <c:v>45978</c:v>
                </c:pt>
                <c:pt idx="5">
                  <c:v>45985</c:v>
                </c:pt>
                <c:pt idx="6">
                  <c:v>45992</c:v>
                </c:pt>
                <c:pt idx="7">
                  <c:v>45999</c:v>
                </c:pt>
                <c:pt idx="8">
                  <c:v>46006</c:v>
                </c:pt>
                <c:pt idx="9">
                  <c:v>46013</c:v>
                </c:pt>
                <c:pt idx="10">
                  <c:v>46020</c:v>
                </c:pt>
                <c:pt idx="11">
                  <c:v>46027</c:v>
                </c:pt>
                <c:pt idx="12">
                  <c:v>46034</c:v>
                </c:pt>
                <c:pt idx="13">
                  <c:v>46041</c:v>
                </c:pt>
                <c:pt idx="14">
                  <c:v>46048</c:v>
                </c:pt>
                <c:pt idx="15">
                  <c:v>46055</c:v>
                </c:pt>
                <c:pt idx="16">
                  <c:v>46062</c:v>
                </c:pt>
                <c:pt idx="17">
                  <c:v>46069</c:v>
                </c:pt>
                <c:pt idx="18">
                  <c:v>46076</c:v>
                </c:pt>
                <c:pt idx="19">
                  <c:v>46083</c:v>
                </c:pt>
                <c:pt idx="20">
                  <c:v>46090</c:v>
                </c:pt>
                <c:pt idx="21">
                  <c:v>46097</c:v>
                </c:pt>
                <c:pt idx="22">
                  <c:v>46104</c:v>
                </c:pt>
                <c:pt idx="23">
                  <c:v>46111</c:v>
                </c:pt>
                <c:pt idx="24">
                  <c:v>46118</c:v>
                </c:pt>
                <c:pt idx="25">
                  <c:v>46125</c:v>
                </c:pt>
                <c:pt idx="26">
                  <c:v>46132</c:v>
                </c:pt>
                <c:pt idx="27">
                  <c:v>46139</c:v>
                </c:pt>
                <c:pt idx="28">
                  <c:v>46146</c:v>
                </c:pt>
                <c:pt idx="29">
                  <c:v>46153</c:v>
                </c:pt>
                <c:pt idx="30">
                  <c:v>46160</c:v>
                </c:pt>
                <c:pt idx="31">
                  <c:v>46167</c:v>
                </c:pt>
                <c:pt idx="32">
                  <c:v>46174</c:v>
                </c:pt>
                <c:pt idx="33">
                  <c:v>46181</c:v>
                </c:pt>
                <c:pt idx="34">
                  <c:v>46188</c:v>
                </c:pt>
                <c:pt idx="35">
                  <c:v>46195</c:v>
                </c:pt>
                <c:pt idx="36">
                  <c:v>46202</c:v>
                </c:pt>
                <c:pt idx="37">
                  <c:v>46209</c:v>
                </c:pt>
                <c:pt idx="38">
                  <c:v>46216</c:v>
                </c:pt>
                <c:pt idx="39">
                  <c:v>46223</c:v>
                </c:pt>
                <c:pt idx="40">
                  <c:v>46230</c:v>
                </c:pt>
                <c:pt idx="41">
                  <c:v>46237</c:v>
                </c:pt>
                <c:pt idx="42">
                  <c:v>46244</c:v>
                </c:pt>
                <c:pt idx="43">
                  <c:v>46251</c:v>
                </c:pt>
                <c:pt idx="44">
                  <c:v>46258</c:v>
                </c:pt>
                <c:pt idx="45">
                  <c:v>46265</c:v>
                </c:pt>
                <c:pt idx="46">
                  <c:v>46272</c:v>
                </c:pt>
                <c:pt idx="47">
                  <c:v>46279</c:v>
                </c:pt>
                <c:pt idx="48">
                  <c:v>46286</c:v>
                </c:pt>
                <c:pt idx="49">
                  <c:v>46293</c:v>
                </c:pt>
                <c:pt idx="50">
                  <c:v>46300</c:v>
                </c:pt>
                <c:pt idx="51">
                  <c:v>46307</c:v>
                </c:pt>
                <c:pt idx="52">
                  <c:v>46314</c:v>
                </c:pt>
              </c:numCache>
            </c:numRef>
          </c:cat>
          <c:val>
            <c:numRef>
              <c:f>Sheet1!$D$3:$D$55</c:f>
              <c:numCache>
                <c:formatCode>General</c:formatCode>
                <c:ptCount val="53"/>
                <c:pt idx="15">
                  <c:v>2</c:v>
                </c:pt>
                <c:pt idx="18">
                  <c:v>1</c:v>
                </c:pt>
                <c:pt idx="30">
                  <c:v>2</c:v>
                </c:pt>
                <c:pt idx="31">
                  <c:v>20</c:v>
                </c:pt>
                <c:pt idx="32">
                  <c:v>1</c:v>
                </c:pt>
                <c:pt idx="37">
                  <c:v>1</c:v>
                </c:pt>
                <c:pt idx="39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5AF-449E-9397-14DE8D09584C}"/>
            </c:ext>
          </c:extLst>
        </c:ser>
        <c:ser>
          <c:idx val="3"/>
          <c:order val="3"/>
          <c:tx>
            <c:strRef>
              <c:f>Sheet1!$E$2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Sheet1!$A$3:$A$55</c:f>
              <c:numCache>
                <c:formatCode>dd/mmm/yy</c:formatCode>
                <c:ptCount val="53"/>
                <c:pt idx="0">
                  <c:v>45950</c:v>
                </c:pt>
                <c:pt idx="1">
                  <c:v>45957</c:v>
                </c:pt>
                <c:pt idx="2">
                  <c:v>45964</c:v>
                </c:pt>
                <c:pt idx="3">
                  <c:v>45971</c:v>
                </c:pt>
                <c:pt idx="4">
                  <c:v>45978</c:v>
                </c:pt>
                <c:pt idx="5">
                  <c:v>45985</c:v>
                </c:pt>
                <c:pt idx="6">
                  <c:v>45992</c:v>
                </c:pt>
                <c:pt idx="7">
                  <c:v>45999</c:v>
                </c:pt>
                <c:pt idx="8">
                  <c:v>46006</c:v>
                </c:pt>
                <c:pt idx="9">
                  <c:v>46013</c:v>
                </c:pt>
                <c:pt idx="10">
                  <c:v>46020</c:v>
                </c:pt>
                <c:pt idx="11">
                  <c:v>46027</c:v>
                </c:pt>
                <c:pt idx="12">
                  <c:v>46034</c:v>
                </c:pt>
                <c:pt idx="13">
                  <c:v>46041</c:v>
                </c:pt>
                <c:pt idx="14">
                  <c:v>46048</c:v>
                </c:pt>
                <c:pt idx="15">
                  <c:v>46055</c:v>
                </c:pt>
                <c:pt idx="16">
                  <c:v>46062</c:v>
                </c:pt>
                <c:pt idx="17">
                  <c:v>46069</c:v>
                </c:pt>
                <c:pt idx="18">
                  <c:v>46076</c:v>
                </c:pt>
                <c:pt idx="19">
                  <c:v>46083</c:v>
                </c:pt>
                <c:pt idx="20">
                  <c:v>46090</c:v>
                </c:pt>
                <c:pt idx="21">
                  <c:v>46097</c:v>
                </c:pt>
                <c:pt idx="22">
                  <c:v>46104</c:v>
                </c:pt>
                <c:pt idx="23">
                  <c:v>46111</c:v>
                </c:pt>
                <c:pt idx="24">
                  <c:v>46118</c:v>
                </c:pt>
                <c:pt idx="25">
                  <c:v>46125</c:v>
                </c:pt>
                <c:pt idx="26">
                  <c:v>46132</c:v>
                </c:pt>
                <c:pt idx="27">
                  <c:v>46139</c:v>
                </c:pt>
                <c:pt idx="28">
                  <c:v>46146</c:v>
                </c:pt>
                <c:pt idx="29">
                  <c:v>46153</c:v>
                </c:pt>
                <c:pt idx="30">
                  <c:v>46160</c:v>
                </c:pt>
                <c:pt idx="31">
                  <c:v>46167</c:v>
                </c:pt>
                <c:pt idx="32">
                  <c:v>46174</c:v>
                </c:pt>
                <c:pt idx="33">
                  <c:v>46181</c:v>
                </c:pt>
                <c:pt idx="34">
                  <c:v>46188</c:v>
                </c:pt>
                <c:pt idx="35">
                  <c:v>46195</c:v>
                </c:pt>
                <c:pt idx="36">
                  <c:v>46202</c:v>
                </c:pt>
                <c:pt idx="37">
                  <c:v>46209</c:v>
                </c:pt>
                <c:pt idx="38">
                  <c:v>46216</c:v>
                </c:pt>
                <c:pt idx="39">
                  <c:v>46223</c:v>
                </c:pt>
                <c:pt idx="40">
                  <c:v>46230</c:v>
                </c:pt>
                <c:pt idx="41">
                  <c:v>46237</c:v>
                </c:pt>
                <c:pt idx="42">
                  <c:v>46244</c:v>
                </c:pt>
                <c:pt idx="43">
                  <c:v>46251</c:v>
                </c:pt>
                <c:pt idx="44">
                  <c:v>46258</c:v>
                </c:pt>
                <c:pt idx="45">
                  <c:v>46265</c:v>
                </c:pt>
                <c:pt idx="46">
                  <c:v>46272</c:v>
                </c:pt>
                <c:pt idx="47">
                  <c:v>46279</c:v>
                </c:pt>
                <c:pt idx="48">
                  <c:v>46286</c:v>
                </c:pt>
                <c:pt idx="49">
                  <c:v>46293</c:v>
                </c:pt>
                <c:pt idx="50">
                  <c:v>46300</c:v>
                </c:pt>
                <c:pt idx="51">
                  <c:v>46307</c:v>
                </c:pt>
                <c:pt idx="52">
                  <c:v>46314</c:v>
                </c:pt>
              </c:numCache>
            </c:numRef>
          </c:cat>
          <c:val>
            <c:numRef>
              <c:f>Sheet1!$E$3:$E$55</c:f>
              <c:numCache>
                <c:formatCode>General</c:formatCode>
                <c:ptCount val="53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5AF-449E-9397-14DE8D09584C}"/>
            </c:ext>
          </c:extLst>
        </c:ser>
        <c:gapWidth val="50"/>
        <c:overlap val="30"/>
        <c:axId val="110180992"/>
        <c:axId val="110199552"/>
      </c:barChart>
      <c:lineChart>
        <c:grouping val="standard"/>
        <c:ser>
          <c:idx val="4"/>
          <c:order val="4"/>
          <c:tx>
            <c:strRef>
              <c:f>Sheet1!$F$2</c:f>
              <c:strCache>
                <c:ptCount val="1"/>
                <c:pt idx="0">
                  <c:v>Sum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Sheet1!$A$3:$A$55</c:f>
              <c:numCache>
                <c:formatCode>dd/mmm/yy</c:formatCode>
                <c:ptCount val="53"/>
                <c:pt idx="0">
                  <c:v>45950</c:v>
                </c:pt>
                <c:pt idx="1">
                  <c:v>45957</c:v>
                </c:pt>
                <c:pt idx="2">
                  <c:v>45964</c:v>
                </c:pt>
                <c:pt idx="3">
                  <c:v>45971</c:v>
                </c:pt>
                <c:pt idx="4">
                  <c:v>45978</c:v>
                </c:pt>
                <c:pt idx="5">
                  <c:v>45985</c:v>
                </c:pt>
                <c:pt idx="6">
                  <c:v>45992</c:v>
                </c:pt>
                <c:pt idx="7">
                  <c:v>45999</c:v>
                </c:pt>
                <c:pt idx="8">
                  <c:v>46006</c:v>
                </c:pt>
                <c:pt idx="9">
                  <c:v>46013</c:v>
                </c:pt>
                <c:pt idx="10">
                  <c:v>46020</c:v>
                </c:pt>
                <c:pt idx="11">
                  <c:v>46027</c:v>
                </c:pt>
                <c:pt idx="12">
                  <c:v>46034</c:v>
                </c:pt>
                <c:pt idx="13">
                  <c:v>46041</c:v>
                </c:pt>
                <c:pt idx="14">
                  <c:v>46048</c:v>
                </c:pt>
                <c:pt idx="15">
                  <c:v>46055</c:v>
                </c:pt>
                <c:pt idx="16">
                  <c:v>46062</c:v>
                </c:pt>
                <c:pt idx="17">
                  <c:v>46069</c:v>
                </c:pt>
                <c:pt idx="18">
                  <c:v>46076</c:v>
                </c:pt>
                <c:pt idx="19">
                  <c:v>46083</c:v>
                </c:pt>
                <c:pt idx="20">
                  <c:v>46090</c:v>
                </c:pt>
                <c:pt idx="21">
                  <c:v>46097</c:v>
                </c:pt>
                <c:pt idx="22">
                  <c:v>46104</c:v>
                </c:pt>
                <c:pt idx="23">
                  <c:v>46111</c:v>
                </c:pt>
                <c:pt idx="24">
                  <c:v>46118</c:v>
                </c:pt>
                <c:pt idx="25">
                  <c:v>46125</c:v>
                </c:pt>
                <c:pt idx="26">
                  <c:v>46132</c:v>
                </c:pt>
                <c:pt idx="27">
                  <c:v>46139</c:v>
                </c:pt>
                <c:pt idx="28">
                  <c:v>46146</c:v>
                </c:pt>
                <c:pt idx="29">
                  <c:v>46153</c:v>
                </c:pt>
                <c:pt idx="30">
                  <c:v>46160</c:v>
                </c:pt>
                <c:pt idx="31">
                  <c:v>46167</c:v>
                </c:pt>
                <c:pt idx="32">
                  <c:v>46174</c:v>
                </c:pt>
                <c:pt idx="33">
                  <c:v>46181</c:v>
                </c:pt>
                <c:pt idx="34">
                  <c:v>46188</c:v>
                </c:pt>
                <c:pt idx="35">
                  <c:v>46195</c:v>
                </c:pt>
                <c:pt idx="36">
                  <c:v>46202</c:v>
                </c:pt>
                <c:pt idx="37">
                  <c:v>46209</c:v>
                </c:pt>
                <c:pt idx="38">
                  <c:v>46216</c:v>
                </c:pt>
                <c:pt idx="39">
                  <c:v>46223</c:v>
                </c:pt>
                <c:pt idx="40">
                  <c:v>46230</c:v>
                </c:pt>
                <c:pt idx="41">
                  <c:v>46237</c:v>
                </c:pt>
                <c:pt idx="42">
                  <c:v>46244</c:v>
                </c:pt>
                <c:pt idx="43">
                  <c:v>46251</c:v>
                </c:pt>
                <c:pt idx="44">
                  <c:v>46258</c:v>
                </c:pt>
                <c:pt idx="45">
                  <c:v>46265</c:v>
                </c:pt>
                <c:pt idx="46">
                  <c:v>46272</c:v>
                </c:pt>
                <c:pt idx="47">
                  <c:v>46279</c:v>
                </c:pt>
                <c:pt idx="48">
                  <c:v>46286</c:v>
                </c:pt>
                <c:pt idx="49">
                  <c:v>46293</c:v>
                </c:pt>
                <c:pt idx="50">
                  <c:v>46300</c:v>
                </c:pt>
                <c:pt idx="51">
                  <c:v>46307</c:v>
                </c:pt>
                <c:pt idx="52">
                  <c:v>46314</c:v>
                </c:pt>
              </c:numCache>
            </c:numRef>
          </c:cat>
          <c:val>
            <c:numRef>
              <c:f>Sheet1!$F$3:$F$55</c:f>
              <c:numCache>
                <c:formatCode>General</c:formatCode>
                <c:ptCount val="53"/>
                <c:pt idx="0">
                  <c:v>224</c:v>
                </c:pt>
                <c:pt idx="1">
                  <c:v>312</c:v>
                </c:pt>
                <c:pt idx="2">
                  <c:v>352</c:v>
                </c:pt>
                <c:pt idx="3">
                  <c:v>259</c:v>
                </c:pt>
                <c:pt idx="4">
                  <c:v>276</c:v>
                </c:pt>
                <c:pt idx="5">
                  <c:v>164</c:v>
                </c:pt>
                <c:pt idx="6">
                  <c:v>221</c:v>
                </c:pt>
                <c:pt idx="7">
                  <c:v>248</c:v>
                </c:pt>
                <c:pt idx="8">
                  <c:v>228</c:v>
                </c:pt>
                <c:pt idx="9">
                  <c:v>244</c:v>
                </c:pt>
                <c:pt idx="10">
                  <c:v>325</c:v>
                </c:pt>
                <c:pt idx="11">
                  <c:v>402</c:v>
                </c:pt>
                <c:pt idx="12">
                  <c:v>239</c:v>
                </c:pt>
                <c:pt idx="13">
                  <c:v>367</c:v>
                </c:pt>
                <c:pt idx="14">
                  <c:v>414</c:v>
                </c:pt>
                <c:pt idx="15">
                  <c:v>384</c:v>
                </c:pt>
                <c:pt idx="16">
                  <c:v>340</c:v>
                </c:pt>
                <c:pt idx="17">
                  <c:v>489</c:v>
                </c:pt>
                <c:pt idx="18">
                  <c:v>430</c:v>
                </c:pt>
                <c:pt idx="19">
                  <c:v>493</c:v>
                </c:pt>
                <c:pt idx="20">
                  <c:v>371</c:v>
                </c:pt>
                <c:pt idx="21">
                  <c:v>332</c:v>
                </c:pt>
                <c:pt idx="22">
                  <c:v>313</c:v>
                </c:pt>
                <c:pt idx="23">
                  <c:v>484</c:v>
                </c:pt>
                <c:pt idx="24">
                  <c:v>440</c:v>
                </c:pt>
                <c:pt idx="25">
                  <c:v>403</c:v>
                </c:pt>
                <c:pt idx="26">
                  <c:v>429</c:v>
                </c:pt>
                <c:pt idx="27">
                  <c:v>358</c:v>
                </c:pt>
                <c:pt idx="28">
                  <c:v>306</c:v>
                </c:pt>
                <c:pt idx="29">
                  <c:v>484</c:v>
                </c:pt>
                <c:pt idx="30">
                  <c:v>562</c:v>
                </c:pt>
                <c:pt idx="31">
                  <c:v>379</c:v>
                </c:pt>
                <c:pt idx="32">
                  <c:v>310</c:v>
                </c:pt>
                <c:pt idx="33">
                  <c:v>354</c:v>
                </c:pt>
                <c:pt idx="34">
                  <c:v>328</c:v>
                </c:pt>
                <c:pt idx="35">
                  <c:v>321</c:v>
                </c:pt>
                <c:pt idx="36">
                  <c:v>432</c:v>
                </c:pt>
                <c:pt idx="37">
                  <c:v>405</c:v>
                </c:pt>
                <c:pt idx="38">
                  <c:v>497</c:v>
                </c:pt>
                <c:pt idx="39">
                  <c:v>377</c:v>
                </c:pt>
                <c:pt idx="40">
                  <c:v>442</c:v>
                </c:pt>
                <c:pt idx="41">
                  <c:v>448</c:v>
                </c:pt>
                <c:pt idx="42">
                  <c:v>665</c:v>
                </c:pt>
                <c:pt idx="43">
                  <c:v>256</c:v>
                </c:pt>
                <c:pt idx="44">
                  <c:v>284</c:v>
                </c:pt>
                <c:pt idx="45">
                  <c:v>307</c:v>
                </c:pt>
                <c:pt idx="46">
                  <c:v>201</c:v>
                </c:pt>
                <c:pt idx="47">
                  <c:v>328</c:v>
                </c:pt>
                <c:pt idx="48">
                  <c:v>559</c:v>
                </c:pt>
                <c:pt idx="49">
                  <c:v>387</c:v>
                </c:pt>
                <c:pt idx="50">
                  <c:v>326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05AF-449E-9397-14DE8D09584C}"/>
            </c:ext>
          </c:extLst>
        </c:ser>
        <c:ser>
          <c:idx val="5"/>
          <c:order val="5"/>
          <c:tx>
            <c:strRef>
              <c:f>Sheet1!$G$2</c:f>
              <c:strCache>
                <c:ptCount val="1"/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Sheet1!$A$3:$A$55</c:f>
              <c:numCache>
                <c:formatCode>dd/mmm/yy</c:formatCode>
                <c:ptCount val="53"/>
                <c:pt idx="0">
                  <c:v>45950</c:v>
                </c:pt>
                <c:pt idx="1">
                  <c:v>45957</c:v>
                </c:pt>
                <c:pt idx="2">
                  <c:v>45964</c:v>
                </c:pt>
                <c:pt idx="3">
                  <c:v>45971</c:v>
                </c:pt>
                <c:pt idx="4">
                  <c:v>45978</c:v>
                </c:pt>
                <c:pt idx="5">
                  <c:v>45985</c:v>
                </c:pt>
                <c:pt idx="6">
                  <c:v>45992</c:v>
                </c:pt>
                <c:pt idx="7">
                  <c:v>45999</c:v>
                </c:pt>
                <c:pt idx="8">
                  <c:v>46006</c:v>
                </c:pt>
                <c:pt idx="9">
                  <c:v>46013</c:v>
                </c:pt>
                <c:pt idx="10">
                  <c:v>46020</c:v>
                </c:pt>
                <c:pt idx="11">
                  <c:v>46027</c:v>
                </c:pt>
                <c:pt idx="12">
                  <c:v>46034</c:v>
                </c:pt>
                <c:pt idx="13">
                  <c:v>46041</c:v>
                </c:pt>
                <c:pt idx="14">
                  <c:v>46048</c:v>
                </c:pt>
                <c:pt idx="15">
                  <c:v>46055</c:v>
                </c:pt>
                <c:pt idx="16">
                  <c:v>46062</c:v>
                </c:pt>
                <c:pt idx="17">
                  <c:v>46069</c:v>
                </c:pt>
                <c:pt idx="18">
                  <c:v>46076</c:v>
                </c:pt>
                <c:pt idx="19">
                  <c:v>46083</c:v>
                </c:pt>
                <c:pt idx="20">
                  <c:v>46090</c:v>
                </c:pt>
                <c:pt idx="21">
                  <c:v>46097</c:v>
                </c:pt>
                <c:pt idx="22">
                  <c:v>46104</c:v>
                </c:pt>
                <c:pt idx="23">
                  <c:v>46111</c:v>
                </c:pt>
                <c:pt idx="24">
                  <c:v>46118</c:v>
                </c:pt>
                <c:pt idx="25">
                  <c:v>46125</c:v>
                </c:pt>
                <c:pt idx="26">
                  <c:v>46132</c:v>
                </c:pt>
                <c:pt idx="27">
                  <c:v>46139</c:v>
                </c:pt>
                <c:pt idx="28">
                  <c:v>46146</c:v>
                </c:pt>
                <c:pt idx="29">
                  <c:v>46153</c:v>
                </c:pt>
                <c:pt idx="30">
                  <c:v>46160</c:v>
                </c:pt>
                <c:pt idx="31">
                  <c:v>46167</c:v>
                </c:pt>
                <c:pt idx="32">
                  <c:v>46174</c:v>
                </c:pt>
                <c:pt idx="33">
                  <c:v>46181</c:v>
                </c:pt>
                <c:pt idx="34">
                  <c:v>46188</c:v>
                </c:pt>
                <c:pt idx="35">
                  <c:v>46195</c:v>
                </c:pt>
                <c:pt idx="36">
                  <c:v>46202</c:v>
                </c:pt>
                <c:pt idx="37">
                  <c:v>46209</c:v>
                </c:pt>
                <c:pt idx="38">
                  <c:v>46216</c:v>
                </c:pt>
                <c:pt idx="39">
                  <c:v>46223</c:v>
                </c:pt>
                <c:pt idx="40">
                  <c:v>46230</c:v>
                </c:pt>
                <c:pt idx="41">
                  <c:v>46237</c:v>
                </c:pt>
                <c:pt idx="42">
                  <c:v>46244</c:v>
                </c:pt>
                <c:pt idx="43">
                  <c:v>46251</c:v>
                </c:pt>
                <c:pt idx="44">
                  <c:v>46258</c:v>
                </c:pt>
                <c:pt idx="45">
                  <c:v>46265</c:v>
                </c:pt>
                <c:pt idx="46">
                  <c:v>46272</c:v>
                </c:pt>
                <c:pt idx="47">
                  <c:v>46279</c:v>
                </c:pt>
                <c:pt idx="48">
                  <c:v>46286</c:v>
                </c:pt>
                <c:pt idx="49">
                  <c:v>46293</c:v>
                </c:pt>
                <c:pt idx="50">
                  <c:v>46300</c:v>
                </c:pt>
                <c:pt idx="51">
                  <c:v>46307</c:v>
                </c:pt>
                <c:pt idx="52">
                  <c:v>46314</c:v>
                </c:pt>
              </c:numCache>
            </c:numRef>
          </c:cat>
          <c:val>
            <c:numRef>
              <c:f>Sheet1!$G$3:$G$55</c:f>
              <c:numCache>
                <c:formatCode>General</c:formatCode>
                <c:ptCount val="53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05AF-449E-9397-14DE8D09584C}"/>
            </c:ext>
          </c:extLst>
        </c:ser>
        <c:marker val="1"/>
        <c:axId val="110180992"/>
        <c:axId val="110199552"/>
      </c:lineChart>
      <c:lineChart>
        <c:grouping val="standard"/>
        <c:ser>
          <c:idx val="6"/>
          <c:order val="6"/>
          <c:tx>
            <c:strRef>
              <c:f>Sheet1!$H$2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Sheet1!$A$3:$A$55</c:f>
              <c:numCache>
                <c:formatCode>dd/mmm/yy</c:formatCode>
                <c:ptCount val="53"/>
                <c:pt idx="0">
                  <c:v>45950</c:v>
                </c:pt>
                <c:pt idx="1">
                  <c:v>45957</c:v>
                </c:pt>
                <c:pt idx="2">
                  <c:v>45964</c:v>
                </c:pt>
                <c:pt idx="3">
                  <c:v>45971</c:v>
                </c:pt>
                <c:pt idx="4">
                  <c:v>45978</c:v>
                </c:pt>
                <c:pt idx="5">
                  <c:v>45985</c:v>
                </c:pt>
                <c:pt idx="6">
                  <c:v>45992</c:v>
                </c:pt>
                <c:pt idx="7">
                  <c:v>45999</c:v>
                </c:pt>
                <c:pt idx="8">
                  <c:v>46006</c:v>
                </c:pt>
                <c:pt idx="9">
                  <c:v>46013</c:v>
                </c:pt>
                <c:pt idx="10">
                  <c:v>46020</c:v>
                </c:pt>
                <c:pt idx="11">
                  <c:v>46027</c:v>
                </c:pt>
                <c:pt idx="12">
                  <c:v>46034</c:v>
                </c:pt>
                <c:pt idx="13">
                  <c:v>46041</c:v>
                </c:pt>
                <c:pt idx="14">
                  <c:v>46048</c:v>
                </c:pt>
                <c:pt idx="15">
                  <c:v>46055</c:v>
                </c:pt>
                <c:pt idx="16">
                  <c:v>46062</c:v>
                </c:pt>
                <c:pt idx="17">
                  <c:v>46069</c:v>
                </c:pt>
                <c:pt idx="18">
                  <c:v>46076</c:v>
                </c:pt>
                <c:pt idx="19">
                  <c:v>46083</c:v>
                </c:pt>
                <c:pt idx="20">
                  <c:v>46090</c:v>
                </c:pt>
                <c:pt idx="21">
                  <c:v>46097</c:v>
                </c:pt>
                <c:pt idx="22">
                  <c:v>46104</c:v>
                </c:pt>
                <c:pt idx="23">
                  <c:v>46111</c:v>
                </c:pt>
                <c:pt idx="24">
                  <c:v>46118</c:v>
                </c:pt>
                <c:pt idx="25">
                  <c:v>46125</c:v>
                </c:pt>
                <c:pt idx="26">
                  <c:v>46132</c:v>
                </c:pt>
                <c:pt idx="27">
                  <c:v>46139</c:v>
                </c:pt>
                <c:pt idx="28">
                  <c:v>46146</c:v>
                </c:pt>
                <c:pt idx="29">
                  <c:v>46153</c:v>
                </c:pt>
                <c:pt idx="30">
                  <c:v>46160</c:v>
                </c:pt>
                <c:pt idx="31">
                  <c:v>46167</c:v>
                </c:pt>
                <c:pt idx="32">
                  <c:v>46174</c:v>
                </c:pt>
                <c:pt idx="33">
                  <c:v>46181</c:v>
                </c:pt>
                <c:pt idx="34">
                  <c:v>46188</c:v>
                </c:pt>
                <c:pt idx="35">
                  <c:v>46195</c:v>
                </c:pt>
                <c:pt idx="36">
                  <c:v>46202</c:v>
                </c:pt>
                <c:pt idx="37">
                  <c:v>46209</c:v>
                </c:pt>
                <c:pt idx="38">
                  <c:v>46216</c:v>
                </c:pt>
                <c:pt idx="39">
                  <c:v>46223</c:v>
                </c:pt>
                <c:pt idx="40">
                  <c:v>46230</c:v>
                </c:pt>
                <c:pt idx="41">
                  <c:v>46237</c:v>
                </c:pt>
                <c:pt idx="42">
                  <c:v>46244</c:v>
                </c:pt>
                <c:pt idx="43">
                  <c:v>46251</c:v>
                </c:pt>
                <c:pt idx="44">
                  <c:v>46258</c:v>
                </c:pt>
                <c:pt idx="45">
                  <c:v>46265</c:v>
                </c:pt>
                <c:pt idx="46">
                  <c:v>46272</c:v>
                </c:pt>
                <c:pt idx="47">
                  <c:v>46279</c:v>
                </c:pt>
                <c:pt idx="48">
                  <c:v>46286</c:v>
                </c:pt>
                <c:pt idx="49">
                  <c:v>46293</c:v>
                </c:pt>
                <c:pt idx="50">
                  <c:v>46300</c:v>
                </c:pt>
                <c:pt idx="51">
                  <c:v>46307</c:v>
                </c:pt>
                <c:pt idx="52">
                  <c:v>46314</c:v>
                </c:pt>
              </c:numCache>
            </c:numRef>
          </c:cat>
          <c:val>
            <c:numRef>
              <c:f>Sheet1!$H$3:$H$55</c:f>
              <c:numCache>
                <c:formatCode>General</c:formatCode>
                <c:ptCount val="53"/>
                <c:pt idx="0">
                  <c:v>224</c:v>
                </c:pt>
                <c:pt idx="1">
                  <c:v>536</c:v>
                </c:pt>
                <c:pt idx="2">
                  <c:v>888</c:v>
                </c:pt>
                <c:pt idx="3">
                  <c:v>1147</c:v>
                </c:pt>
                <c:pt idx="4">
                  <c:v>1423</c:v>
                </c:pt>
                <c:pt idx="5">
                  <c:v>1587</c:v>
                </c:pt>
                <c:pt idx="6">
                  <c:v>1808</c:v>
                </c:pt>
                <c:pt idx="7">
                  <c:v>2056</c:v>
                </c:pt>
                <c:pt idx="8">
                  <c:v>2284</c:v>
                </c:pt>
                <c:pt idx="9">
                  <c:v>2528</c:v>
                </c:pt>
                <c:pt idx="10">
                  <c:v>2853</c:v>
                </c:pt>
                <c:pt idx="11">
                  <c:v>3255</c:v>
                </c:pt>
                <c:pt idx="12">
                  <c:v>3494</c:v>
                </c:pt>
                <c:pt idx="13">
                  <c:v>3861</c:v>
                </c:pt>
                <c:pt idx="14">
                  <c:v>4275</c:v>
                </c:pt>
                <c:pt idx="15">
                  <c:v>4659</c:v>
                </c:pt>
                <c:pt idx="16">
                  <c:v>4999</c:v>
                </c:pt>
                <c:pt idx="17">
                  <c:v>5488</c:v>
                </c:pt>
                <c:pt idx="18">
                  <c:v>5918</c:v>
                </c:pt>
                <c:pt idx="19">
                  <c:v>6411</c:v>
                </c:pt>
                <c:pt idx="20">
                  <c:v>6782</c:v>
                </c:pt>
                <c:pt idx="21">
                  <c:v>7114</c:v>
                </c:pt>
                <c:pt idx="22">
                  <c:v>7427</c:v>
                </c:pt>
                <c:pt idx="23">
                  <c:v>7911</c:v>
                </c:pt>
                <c:pt idx="24">
                  <c:v>8351</c:v>
                </c:pt>
                <c:pt idx="25">
                  <c:v>8754</c:v>
                </c:pt>
                <c:pt idx="26">
                  <c:v>9183</c:v>
                </c:pt>
                <c:pt idx="27">
                  <c:v>9541</c:v>
                </c:pt>
                <c:pt idx="28">
                  <c:v>9847</c:v>
                </c:pt>
                <c:pt idx="29">
                  <c:v>10331</c:v>
                </c:pt>
                <c:pt idx="30">
                  <c:v>10893</c:v>
                </c:pt>
                <c:pt idx="31">
                  <c:v>11272</c:v>
                </c:pt>
                <c:pt idx="32">
                  <c:v>11582</c:v>
                </c:pt>
                <c:pt idx="33">
                  <c:v>11936</c:v>
                </c:pt>
                <c:pt idx="34">
                  <c:v>12264</c:v>
                </c:pt>
                <c:pt idx="35">
                  <c:v>12585</c:v>
                </c:pt>
                <c:pt idx="36">
                  <c:v>13017</c:v>
                </c:pt>
                <c:pt idx="37">
                  <c:v>13422</c:v>
                </c:pt>
                <c:pt idx="38">
                  <c:v>13919</c:v>
                </c:pt>
                <c:pt idx="39">
                  <c:v>14296</c:v>
                </c:pt>
                <c:pt idx="40">
                  <c:v>14738</c:v>
                </c:pt>
                <c:pt idx="41">
                  <c:v>15186</c:v>
                </c:pt>
                <c:pt idx="42">
                  <c:v>15851</c:v>
                </c:pt>
                <c:pt idx="43">
                  <c:v>16107</c:v>
                </c:pt>
                <c:pt idx="44">
                  <c:v>16391</c:v>
                </c:pt>
                <c:pt idx="45">
                  <c:v>16698</c:v>
                </c:pt>
                <c:pt idx="46">
                  <c:v>16899</c:v>
                </c:pt>
                <c:pt idx="47">
                  <c:v>17227</c:v>
                </c:pt>
                <c:pt idx="48">
                  <c:v>17786</c:v>
                </c:pt>
                <c:pt idx="49">
                  <c:v>18173</c:v>
                </c:pt>
                <c:pt idx="50">
                  <c:v>18499</c:v>
                </c:pt>
                <c:pt idx="51">
                  <c:v>18499</c:v>
                </c:pt>
                <c:pt idx="52">
                  <c:v>18499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05AF-449E-9397-14DE8D09584C}"/>
            </c:ext>
          </c:extLst>
        </c:ser>
        <c:marker val="1"/>
        <c:axId val="110220032"/>
        <c:axId val="110201472"/>
      </c:lineChart>
      <c:catAx>
        <c:axId val="110180992"/>
        <c:scaling>
          <c:orientation val="minMax"/>
        </c:scaling>
        <c:axPos val="b"/>
        <c:title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dd/mmm/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10199552"/>
        <c:crosses val="autoZero"/>
        <c:lblAlgn val="ctr"/>
        <c:lblOffset val="100"/>
        <c:tickLblSkip val="4"/>
      </c:catAx>
      <c:valAx>
        <c:axId val="11019955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Streams / WEEK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#.##0;\-#.##0" sourceLinked="0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10180992"/>
        <c:crosses val="autoZero"/>
        <c:crossBetween val="between"/>
      </c:valAx>
      <c:valAx>
        <c:axId val="110201472"/>
        <c:scaling>
          <c:orientation val="minMax"/>
        </c:scaling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TIOTAL</a:t>
                </a:r>
                <a:r>
                  <a:rPr lang="sv-SE" baseline="0"/>
                  <a:t> STREAMS</a:t>
                </a:r>
                <a:endParaRPr lang="sv-SE"/>
              </a:p>
            </c:rich>
          </c:tx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10220032"/>
        <c:crosses val="max"/>
        <c:crossBetween val="between"/>
      </c:valAx>
      <c:dateAx>
        <c:axId val="110220032"/>
        <c:scaling>
          <c:orientation val="minMax"/>
        </c:scaling>
        <c:delete val="1"/>
        <c:axPos val="b"/>
        <c:numFmt formatCode="dd/mmm/yy" sourceLinked="1"/>
        <c:tickLblPos val="none"/>
        <c:crossAx val="110201472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149" cy="6078325"/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12C9E449-515E-EC96-4A41-488CB1B0229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topLeftCell="A25" workbookViewId="0">
      <selection activeCell="D53" sqref="D53"/>
    </sheetView>
  </sheetViews>
  <sheetFormatPr defaultRowHeight="14.25"/>
  <cols>
    <col min="1" max="1" width="10.625" customWidth="1"/>
  </cols>
  <sheetData>
    <row r="1" spans="1:8" s="1" customFormat="1" ht="20.25" thickBot="1">
      <c r="A1" s="1" t="s">
        <v>0</v>
      </c>
    </row>
    <row r="2" spans="1:8" s="2" customFormat="1" ht="16.5" thickTop="1" thickBot="1">
      <c r="A2" s="2" t="s">
        <v>1</v>
      </c>
      <c r="B2" s="2" t="s">
        <v>2</v>
      </c>
      <c r="C2" s="2" t="s">
        <v>3</v>
      </c>
      <c r="D2" s="2" t="s">
        <v>4</v>
      </c>
      <c r="F2" s="2" t="s">
        <v>5</v>
      </c>
      <c r="H2" s="2" t="s">
        <v>6</v>
      </c>
    </row>
    <row r="3" spans="1:8">
      <c r="A3" s="3">
        <v>45950</v>
      </c>
      <c r="B3">
        <v>224</v>
      </c>
      <c r="F3">
        <f>B3+C3+D3</f>
        <v>224</v>
      </c>
      <c r="H3">
        <f>F3</f>
        <v>224</v>
      </c>
    </row>
    <row r="4" spans="1:8">
      <c r="A4" s="3">
        <f>A3+7</f>
        <v>45957</v>
      </c>
      <c r="B4">
        <v>312</v>
      </c>
      <c r="F4">
        <f t="shared" ref="F4:F52" si="0">B4+C4+D4</f>
        <v>312</v>
      </c>
      <c r="H4">
        <f>H3+F4</f>
        <v>536</v>
      </c>
    </row>
    <row r="5" spans="1:8">
      <c r="A5" s="3">
        <f t="shared" ref="A5:A52" si="1">A4+7</f>
        <v>45964</v>
      </c>
      <c r="B5">
        <v>352</v>
      </c>
      <c r="F5">
        <f t="shared" si="0"/>
        <v>352</v>
      </c>
      <c r="H5">
        <f t="shared" ref="H5:H52" si="2">H4+F5</f>
        <v>888</v>
      </c>
    </row>
    <row r="6" spans="1:8">
      <c r="A6" s="3">
        <f t="shared" si="1"/>
        <v>45971</v>
      </c>
      <c r="B6">
        <v>259</v>
      </c>
      <c r="F6">
        <f t="shared" si="0"/>
        <v>259</v>
      </c>
      <c r="H6">
        <f t="shared" si="2"/>
        <v>1147</v>
      </c>
    </row>
    <row r="7" spans="1:8">
      <c r="A7" s="3">
        <f t="shared" si="1"/>
        <v>45978</v>
      </c>
      <c r="B7">
        <v>276</v>
      </c>
      <c r="F7">
        <f t="shared" si="0"/>
        <v>276</v>
      </c>
      <c r="H7">
        <f t="shared" si="2"/>
        <v>1423</v>
      </c>
    </row>
    <row r="8" spans="1:8">
      <c r="A8" s="3">
        <f t="shared" si="1"/>
        <v>45985</v>
      </c>
      <c r="B8">
        <v>164</v>
      </c>
      <c r="F8">
        <f t="shared" si="0"/>
        <v>164</v>
      </c>
      <c r="H8">
        <f t="shared" si="2"/>
        <v>1587</v>
      </c>
    </row>
    <row r="9" spans="1:8">
      <c r="A9" s="3">
        <f t="shared" si="1"/>
        <v>45992</v>
      </c>
      <c r="B9">
        <v>221</v>
      </c>
      <c r="F9">
        <f t="shared" si="0"/>
        <v>221</v>
      </c>
      <c r="H9">
        <f t="shared" si="2"/>
        <v>1808</v>
      </c>
    </row>
    <row r="10" spans="1:8">
      <c r="A10" s="3">
        <f t="shared" si="1"/>
        <v>45999</v>
      </c>
      <c r="B10">
        <v>248</v>
      </c>
      <c r="F10">
        <f t="shared" si="0"/>
        <v>248</v>
      </c>
      <c r="H10">
        <f t="shared" si="2"/>
        <v>2056</v>
      </c>
    </row>
    <row r="11" spans="1:8">
      <c r="A11" s="3">
        <f t="shared" si="1"/>
        <v>46006</v>
      </c>
      <c r="B11">
        <v>228</v>
      </c>
      <c r="F11">
        <f t="shared" si="0"/>
        <v>228</v>
      </c>
      <c r="H11">
        <f t="shared" si="2"/>
        <v>2284</v>
      </c>
    </row>
    <row r="12" spans="1:8">
      <c r="A12" s="3">
        <f t="shared" si="1"/>
        <v>46013</v>
      </c>
      <c r="B12">
        <v>244</v>
      </c>
      <c r="F12">
        <f t="shared" si="0"/>
        <v>244</v>
      </c>
      <c r="H12">
        <f t="shared" si="2"/>
        <v>2528</v>
      </c>
    </row>
    <row r="13" spans="1:8">
      <c r="A13" s="3">
        <f t="shared" si="1"/>
        <v>46020</v>
      </c>
      <c r="B13">
        <v>268</v>
      </c>
      <c r="C13">
        <v>57</v>
      </c>
      <c r="F13">
        <f t="shared" si="0"/>
        <v>325</v>
      </c>
      <c r="H13">
        <f t="shared" si="2"/>
        <v>2853</v>
      </c>
    </row>
    <row r="14" spans="1:8">
      <c r="A14" s="3">
        <f t="shared" si="1"/>
        <v>46027</v>
      </c>
      <c r="B14">
        <v>290</v>
      </c>
      <c r="C14">
        <v>112</v>
      </c>
      <c r="F14">
        <f t="shared" si="0"/>
        <v>402</v>
      </c>
      <c r="H14">
        <f t="shared" si="2"/>
        <v>3255</v>
      </c>
    </row>
    <row r="15" spans="1:8">
      <c r="A15" s="3">
        <f t="shared" si="1"/>
        <v>46034</v>
      </c>
      <c r="B15">
        <v>189</v>
      </c>
      <c r="C15">
        <v>50</v>
      </c>
      <c r="F15">
        <f t="shared" si="0"/>
        <v>239</v>
      </c>
      <c r="H15">
        <f t="shared" si="2"/>
        <v>3494</v>
      </c>
    </row>
    <row r="16" spans="1:8">
      <c r="A16" s="3">
        <f t="shared" si="1"/>
        <v>46041</v>
      </c>
      <c r="B16">
        <v>116</v>
      </c>
      <c r="C16">
        <v>251</v>
      </c>
      <c r="F16">
        <f t="shared" si="0"/>
        <v>367</v>
      </c>
      <c r="H16">
        <f t="shared" si="2"/>
        <v>3861</v>
      </c>
    </row>
    <row r="17" spans="1:8">
      <c r="A17" s="3">
        <f t="shared" si="1"/>
        <v>46048</v>
      </c>
      <c r="B17">
        <v>234</v>
      </c>
      <c r="C17">
        <v>180</v>
      </c>
      <c r="F17">
        <f t="shared" si="0"/>
        <v>414</v>
      </c>
      <c r="H17">
        <f t="shared" si="2"/>
        <v>4275</v>
      </c>
    </row>
    <row r="18" spans="1:8">
      <c r="A18" s="3">
        <f t="shared" si="1"/>
        <v>46055</v>
      </c>
      <c r="B18">
        <v>178</v>
      </c>
      <c r="C18">
        <v>204</v>
      </c>
      <c r="D18">
        <v>2</v>
      </c>
      <c r="F18">
        <f t="shared" si="0"/>
        <v>384</v>
      </c>
      <c r="H18">
        <f t="shared" si="2"/>
        <v>4659</v>
      </c>
    </row>
    <row r="19" spans="1:8">
      <c r="A19" s="3">
        <f t="shared" si="1"/>
        <v>46062</v>
      </c>
      <c r="B19">
        <v>194</v>
      </c>
      <c r="C19">
        <v>146</v>
      </c>
      <c r="F19">
        <f t="shared" si="0"/>
        <v>340</v>
      </c>
      <c r="H19">
        <f t="shared" si="2"/>
        <v>4999</v>
      </c>
    </row>
    <row r="20" spans="1:8">
      <c r="A20" s="3">
        <f t="shared" si="1"/>
        <v>46069</v>
      </c>
      <c r="B20">
        <v>77</v>
      </c>
      <c r="C20">
        <v>412</v>
      </c>
      <c r="F20">
        <f t="shared" si="0"/>
        <v>489</v>
      </c>
      <c r="H20">
        <f t="shared" si="2"/>
        <v>5488</v>
      </c>
    </row>
    <row r="21" spans="1:8">
      <c r="A21" s="3">
        <f t="shared" si="1"/>
        <v>46076</v>
      </c>
      <c r="B21">
        <v>247</v>
      </c>
      <c r="C21">
        <v>182</v>
      </c>
      <c r="D21">
        <v>1</v>
      </c>
      <c r="F21">
        <f t="shared" si="0"/>
        <v>430</v>
      </c>
      <c r="H21">
        <f t="shared" si="2"/>
        <v>5918</v>
      </c>
    </row>
    <row r="22" spans="1:8">
      <c r="A22" s="3">
        <f t="shared" si="1"/>
        <v>46083</v>
      </c>
      <c r="B22">
        <v>247</v>
      </c>
      <c r="C22">
        <v>246</v>
      </c>
      <c r="F22">
        <f t="shared" si="0"/>
        <v>493</v>
      </c>
      <c r="H22">
        <f t="shared" si="2"/>
        <v>6411</v>
      </c>
    </row>
    <row r="23" spans="1:8">
      <c r="A23" s="3">
        <f t="shared" si="1"/>
        <v>46090</v>
      </c>
      <c r="B23">
        <v>228</v>
      </c>
      <c r="C23">
        <v>143</v>
      </c>
      <c r="F23">
        <f t="shared" si="0"/>
        <v>371</v>
      </c>
      <c r="H23">
        <f t="shared" si="2"/>
        <v>6782</v>
      </c>
    </row>
    <row r="24" spans="1:8">
      <c r="A24" s="3">
        <f t="shared" si="1"/>
        <v>46097</v>
      </c>
      <c r="B24">
        <v>207</v>
      </c>
      <c r="C24">
        <v>125</v>
      </c>
      <c r="F24">
        <f t="shared" si="0"/>
        <v>332</v>
      </c>
      <c r="H24">
        <f t="shared" si="2"/>
        <v>7114</v>
      </c>
    </row>
    <row r="25" spans="1:8">
      <c r="A25" s="3">
        <f t="shared" si="1"/>
        <v>46104</v>
      </c>
      <c r="B25">
        <v>218</v>
      </c>
      <c r="C25">
        <v>95</v>
      </c>
      <c r="F25">
        <f t="shared" si="0"/>
        <v>313</v>
      </c>
      <c r="H25">
        <f t="shared" si="2"/>
        <v>7427</v>
      </c>
    </row>
    <row r="26" spans="1:8">
      <c r="A26" s="3">
        <f t="shared" si="1"/>
        <v>46111</v>
      </c>
      <c r="B26">
        <v>234</v>
      </c>
      <c r="C26">
        <v>250</v>
      </c>
      <c r="F26">
        <f t="shared" si="0"/>
        <v>484</v>
      </c>
      <c r="H26">
        <f t="shared" si="2"/>
        <v>7911</v>
      </c>
    </row>
    <row r="27" spans="1:8">
      <c r="A27" s="3">
        <f t="shared" si="1"/>
        <v>46118</v>
      </c>
      <c r="B27">
        <v>95</v>
      </c>
      <c r="C27">
        <v>345</v>
      </c>
      <c r="F27">
        <f t="shared" si="0"/>
        <v>440</v>
      </c>
      <c r="H27">
        <f t="shared" si="2"/>
        <v>8351</v>
      </c>
    </row>
    <row r="28" spans="1:8">
      <c r="A28" s="3">
        <f t="shared" si="1"/>
        <v>46125</v>
      </c>
      <c r="B28">
        <v>208</v>
      </c>
      <c r="C28">
        <v>195</v>
      </c>
      <c r="F28">
        <f t="shared" si="0"/>
        <v>403</v>
      </c>
      <c r="H28">
        <f t="shared" si="2"/>
        <v>8754</v>
      </c>
    </row>
    <row r="29" spans="1:8">
      <c r="A29" s="3">
        <f t="shared" si="1"/>
        <v>46132</v>
      </c>
      <c r="B29">
        <v>216</v>
      </c>
      <c r="C29">
        <v>213</v>
      </c>
      <c r="F29">
        <f t="shared" si="0"/>
        <v>429</v>
      </c>
      <c r="H29">
        <f t="shared" si="2"/>
        <v>9183</v>
      </c>
    </row>
    <row r="30" spans="1:8">
      <c r="A30" s="3">
        <f t="shared" si="1"/>
        <v>46139</v>
      </c>
      <c r="B30">
        <v>200</v>
      </c>
      <c r="C30">
        <v>158</v>
      </c>
      <c r="F30">
        <f t="shared" si="0"/>
        <v>358</v>
      </c>
      <c r="H30">
        <f t="shared" si="2"/>
        <v>9541</v>
      </c>
    </row>
    <row r="31" spans="1:8">
      <c r="A31" s="3">
        <f t="shared" si="1"/>
        <v>46146</v>
      </c>
      <c r="B31">
        <v>119</v>
      </c>
      <c r="C31">
        <v>187</v>
      </c>
      <c r="F31">
        <f t="shared" si="0"/>
        <v>306</v>
      </c>
      <c r="H31">
        <f t="shared" si="2"/>
        <v>9847</v>
      </c>
    </row>
    <row r="32" spans="1:8">
      <c r="A32" s="3">
        <f t="shared" si="1"/>
        <v>46153</v>
      </c>
      <c r="B32">
        <v>212</v>
      </c>
      <c r="C32">
        <v>272</v>
      </c>
      <c r="F32">
        <f t="shared" si="0"/>
        <v>484</v>
      </c>
      <c r="H32">
        <f t="shared" si="2"/>
        <v>10331</v>
      </c>
    </row>
    <row r="33" spans="1:8">
      <c r="A33" s="3">
        <f t="shared" si="1"/>
        <v>46160</v>
      </c>
      <c r="B33">
        <v>188</v>
      </c>
      <c r="C33">
        <v>372</v>
      </c>
      <c r="D33">
        <v>2</v>
      </c>
      <c r="F33">
        <f t="shared" si="0"/>
        <v>562</v>
      </c>
      <c r="H33">
        <f t="shared" si="2"/>
        <v>10893</v>
      </c>
    </row>
    <row r="34" spans="1:8">
      <c r="A34" s="3">
        <f t="shared" si="1"/>
        <v>46167</v>
      </c>
      <c r="B34">
        <v>219</v>
      </c>
      <c r="C34">
        <v>140</v>
      </c>
      <c r="D34">
        <v>20</v>
      </c>
      <c r="F34">
        <f t="shared" si="0"/>
        <v>379</v>
      </c>
      <c r="H34">
        <f t="shared" si="2"/>
        <v>11272</v>
      </c>
    </row>
    <row r="35" spans="1:8">
      <c r="A35" s="3">
        <f t="shared" si="1"/>
        <v>46174</v>
      </c>
      <c r="B35">
        <v>214</v>
      </c>
      <c r="C35">
        <v>95</v>
      </c>
      <c r="D35">
        <v>1</v>
      </c>
      <c r="F35">
        <f t="shared" si="0"/>
        <v>310</v>
      </c>
      <c r="H35">
        <f t="shared" si="2"/>
        <v>11582</v>
      </c>
    </row>
    <row r="36" spans="1:8">
      <c r="A36" s="3">
        <f t="shared" si="1"/>
        <v>46181</v>
      </c>
      <c r="B36">
        <v>138</v>
      </c>
      <c r="C36">
        <v>216</v>
      </c>
      <c r="F36">
        <f t="shared" si="0"/>
        <v>354</v>
      </c>
      <c r="H36">
        <f t="shared" si="2"/>
        <v>11936</v>
      </c>
    </row>
    <row r="37" spans="1:8">
      <c r="A37" s="3">
        <f t="shared" si="1"/>
        <v>46188</v>
      </c>
      <c r="B37">
        <v>164</v>
      </c>
      <c r="C37">
        <v>164</v>
      </c>
      <c r="F37">
        <f t="shared" si="0"/>
        <v>328</v>
      </c>
      <c r="H37">
        <f t="shared" si="2"/>
        <v>12264</v>
      </c>
    </row>
    <row r="38" spans="1:8">
      <c r="A38" s="3">
        <f t="shared" si="1"/>
        <v>46195</v>
      </c>
      <c r="B38">
        <v>247</v>
      </c>
      <c r="C38">
        <v>74</v>
      </c>
      <c r="F38">
        <f t="shared" si="0"/>
        <v>321</v>
      </c>
      <c r="H38">
        <f t="shared" si="2"/>
        <v>12585</v>
      </c>
    </row>
    <row r="39" spans="1:8">
      <c r="A39" s="3">
        <f t="shared" si="1"/>
        <v>46202</v>
      </c>
      <c r="B39">
        <v>225</v>
      </c>
      <c r="C39">
        <v>207</v>
      </c>
      <c r="F39">
        <f t="shared" si="0"/>
        <v>432</v>
      </c>
      <c r="H39">
        <f t="shared" si="2"/>
        <v>13017</v>
      </c>
    </row>
    <row r="40" spans="1:8">
      <c r="A40" s="3">
        <f t="shared" si="1"/>
        <v>46209</v>
      </c>
      <c r="B40">
        <v>274</v>
      </c>
      <c r="C40">
        <v>130</v>
      </c>
      <c r="D40">
        <v>1</v>
      </c>
      <c r="F40">
        <f t="shared" si="0"/>
        <v>405</v>
      </c>
      <c r="H40">
        <f t="shared" si="2"/>
        <v>13422</v>
      </c>
    </row>
    <row r="41" spans="1:8">
      <c r="A41" s="3">
        <f t="shared" si="1"/>
        <v>46216</v>
      </c>
      <c r="B41">
        <v>358</v>
      </c>
      <c r="C41">
        <v>139</v>
      </c>
      <c r="F41">
        <f t="shared" si="0"/>
        <v>497</v>
      </c>
      <c r="H41">
        <f t="shared" si="2"/>
        <v>13919</v>
      </c>
    </row>
    <row r="42" spans="1:8">
      <c r="A42" s="3">
        <f t="shared" si="1"/>
        <v>46223</v>
      </c>
      <c r="B42">
        <v>243</v>
      </c>
      <c r="C42">
        <v>132</v>
      </c>
      <c r="D42">
        <v>2</v>
      </c>
      <c r="F42">
        <f t="shared" si="0"/>
        <v>377</v>
      </c>
      <c r="H42">
        <f t="shared" si="2"/>
        <v>14296</v>
      </c>
    </row>
    <row r="43" spans="1:8">
      <c r="A43" s="3">
        <f t="shared" si="1"/>
        <v>46230</v>
      </c>
      <c r="B43">
        <v>309</v>
      </c>
      <c r="C43">
        <v>133</v>
      </c>
      <c r="F43">
        <f t="shared" si="0"/>
        <v>442</v>
      </c>
      <c r="H43">
        <f t="shared" si="2"/>
        <v>14738</v>
      </c>
    </row>
    <row r="44" spans="1:8">
      <c r="A44" s="3">
        <f t="shared" si="1"/>
        <v>46237</v>
      </c>
      <c r="B44">
        <v>239</v>
      </c>
      <c r="C44">
        <v>209</v>
      </c>
      <c r="F44">
        <f t="shared" si="0"/>
        <v>448</v>
      </c>
      <c r="H44">
        <f t="shared" si="2"/>
        <v>15186</v>
      </c>
    </row>
    <row r="45" spans="1:8">
      <c r="A45" s="3">
        <f t="shared" si="1"/>
        <v>46244</v>
      </c>
      <c r="B45">
        <v>201</v>
      </c>
      <c r="C45">
        <v>464</v>
      </c>
      <c r="F45">
        <f t="shared" si="0"/>
        <v>665</v>
      </c>
      <c r="H45">
        <f t="shared" si="2"/>
        <v>15851</v>
      </c>
    </row>
    <row r="46" spans="1:8">
      <c r="A46" s="3">
        <f t="shared" si="1"/>
        <v>46251</v>
      </c>
      <c r="B46">
        <v>181</v>
      </c>
      <c r="C46">
        <v>74</v>
      </c>
      <c r="D46">
        <v>1</v>
      </c>
      <c r="F46">
        <f t="shared" si="0"/>
        <v>256</v>
      </c>
      <c r="H46">
        <f t="shared" si="2"/>
        <v>16107</v>
      </c>
    </row>
    <row r="47" spans="1:8">
      <c r="A47" s="3">
        <f t="shared" si="1"/>
        <v>46258</v>
      </c>
      <c r="B47">
        <v>148</v>
      </c>
      <c r="C47">
        <v>135</v>
      </c>
      <c r="D47">
        <v>1</v>
      </c>
      <c r="F47">
        <f t="shared" si="0"/>
        <v>284</v>
      </c>
      <c r="H47">
        <f t="shared" si="2"/>
        <v>16391</v>
      </c>
    </row>
    <row r="48" spans="1:8">
      <c r="A48" s="3">
        <f t="shared" si="1"/>
        <v>46265</v>
      </c>
      <c r="B48">
        <v>225</v>
      </c>
      <c r="C48">
        <v>81</v>
      </c>
      <c r="D48">
        <v>1</v>
      </c>
      <c r="F48">
        <f t="shared" si="0"/>
        <v>307</v>
      </c>
      <c r="H48">
        <f t="shared" si="2"/>
        <v>16698</v>
      </c>
    </row>
    <row r="49" spans="1:8">
      <c r="A49" s="3">
        <f t="shared" si="1"/>
        <v>46272</v>
      </c>
      <c r="B49">
        <v>94</v>
      </c>
      <c r="C49">
        <v>107</v>
      </c>
      <c r="F49">
        <f t="shared" si="0"/>
        <v>201</v>
      </c>
      <c r="H49">
        <f t="shared" si="2"/>
        <v>16899</v>
      </c>
    </row>
    <row r="50" spans="1:8">
      <c r="A50" s="3">
        <f t="shared" si="1"/>
        <v>46279</v>
      </c>
      <c r="B50">
        <v>190</v>
      </c>
      <c r="C50">
        <v>137</v>
      </c>
      <c r="D50">
        <v>1</v>
      </c>
      <c r="F50">
        <f t="shared" si="0"/>
        <v>328</v>
      </c>
      <c r="H50">
        <f t="shared" si="2"/>
        <v>17227</v>
      </c>
    </row>
    <row r="51" spans="1:8">
      <c r="A51" s="3">
        <f t="shared" si="1"/>
        <v>46286</v>
      </c>
      <c r="B51">
        <v>222</v>
      </c>
      <c r="C51">
        <v>334</v>
      </c>
      <c r="D51">
        <v>3</v>
      </c>
      <c r="F51">
        <f t="shared" si="0"/>
        <v>559</v>
      </c>
      <c r="H51">
        <f t="shared" si="2"/>
        <v>17786</v>
      </c>
    </row>
    <row r="52" spans="1:8">
      <c r="A52" s="3">
        <f t="shared" si="1"/>
        <v>46293</v>
      </c>
      <c r="B52">
        <v>276</v>
      </c>
      <c r="C52">
        <v>110</v>
      </c>
      <c r="D52">
        <v>1</v>
      </c>
      <c r="F52">
        <f t="shared" si="0"/>
        <v>387</v>
      </c>
      <c r="H52">
        <f t="shared" si="2"/>
        <v>18173</v>
      </c>
    </row>
    <row r="53" spans="1:8">
      <c r="A53" s="3">
        <f t="shared" ref="A53:A55" si="3">A52+7</f>
        <v>46300</v>
      </c>
      <c r="B53">
        <v>104</v>
      </c>
      <c r="C53">
        <v>222</v>
      </c>
      <c r="F53">
        <f t="shared" ref="F53:F55" si="4">B53+C53+D53</f>
        <v>326</v>
      </c>
      <c r="H53">
        <f t="shared" ref="H53:H55" si="5">H52+F53</f>
        <v>18499</v>
      </c>
    </row>
    <row r="54" spans="1:8" s="5" customFormat="1" ht="15" thickBot="1">
      <c r="A54" s="4">
        <f t="shared" si="3"/>
        <v>46307</v>
      </c>
      <c r="F54" s="5">
        <f t="shared" si="4"/>
        <v>0</v>
      </c>
      <c r="H54" s="5">
        <f t="shared" si="5"/>
        <v>18499</v>
      </c>
    </row>
    <row r="55" spans="1:8" ht="15" thickTop="1">
      <c r="A55" s="3">
        <f t="shared" si="3"/>
        <v>46314</v>
      </c>
      <c r="F55">
        <f t="shared" si="4"/>
        <v>0</v>
      </c>
      <c r="H55">
        <f t="shared" si="5"/>
        <v>18499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395B8A-34B8-453C-AD69-1C9C7247ED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Björn Andersson</dc:creator>
  <cp:lastModifiedBy>Nattlorden .</cp:lastModifiedBy>
  <dcterms:created xsi:type="dcterms:W3CDTF">2026-09-22T06:23:26Z</dcterms:created>
  <dcterms:modified xsi:type="dcterms:W3CDTF">2026-10-14T20:37:55Z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2a50b7-78f2-402e-86fd-cbaf03d09c36_Enabled">
    <vt:lpwstr>true</vt:lpwstr>
  </property>
  <property fmtid="{D5CDD505-2E9C-101B-9397-08002B2CF9AE}" pid="3" name="MSIP_Label_0e2a50b7-78f2-402e-86fd-cbaf03d09c36_SetDate">
    <vt:lpwstr>2026-09-22T06:36:07Z</vt:lpwstr>
  </property>
  <property fmtid="{D5CDD505-2E9C-101B-9397-08002B2CF9AE}" pid="4" name="MSIP_Label_0e2a50b7-78f2-402e-86fd-cbaf03d09c36_Method">
    <vt:lpwstr>Privileged</vt:lpwstr>
  </property>
  <property fmtid="{D5CDD505-2E9C-101B-9397-08002B2CF9AE}" pid="5" name="MSIP_Label_0e2a50b7-78f2-402e-86fd-cbaf03d09c36_Name">
    <vt:lpwstr>non-business</vt:lpwstr>
  </property>
  <property fmtid="{D5CDD505-2E9C-101B-9397-08002B2CF9AE}" pid="6" name="MSIP_Label_0e2a50b7-78f2-402e-86fd-cbaf03d09c36_SiteId">
    <vt:lpwstr>425a5546-5a6e-4f1b-ab62-23d91d07d893</vt:lpwstr>
  </property>
  <property fmtid="{D5CDD505-2E9C-101B-9397-08002B2CF9AE}" pid="7" name="MSIP_Label_0e2a50b7-78f2-402e-86fd-cbaf03d09c36_ActionId">
    <vt:lpwstr>08f1547c-daf6-4689-8d54-911c9d7f5370</vt:lpwstr>
  </property>
  <property fmtid="{D5CDD505-2E9C-101B-9397-08002B2CF9AE}" pid="8" name="MSIP_Label_0e2a50b7-78f2-402e-86fd-cbaf03d09c36_ContentBits">
    <vt:lpwstr>0</vt:lpwstr>
  </property>
  <property fmtid="{D5CDD505-2E9C-101B-9397-08002B2CF9AE}" pid="9" name="MSIP_Label_0e2a50b7-78f2-402e-86fd-cbaf03d09c36_Tag">
    <vt:lpwstr>10, 0, 1, 1</vt:lpwstr>
  </property>
</Properties>
</file>